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vizank\Documents\hydraulic_abm\Input Files\"/>
    </mc:Choice>
  </mc:AlternateContent>
  <bookViews>
    <workbookView xWindow="1020" yWindow="495" windowWidth="27780" windowHeight="17505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" i="1"/>
  <c r="I2" i="1"/>
  <c r="I3" i="1" s="1"/>
  <c r="I34" i="1"/>
  <c r="L3" i="1"/>
  <c r="L4" i="1" s="1"/>
  <c r="L5" i="1" s="1"/>
  <c r="L6" i="1" s="1"/>
  <c r="L7" i="1" s="1"/>
  <c r="L8" i="1" s="1"/>
  <c r="L2" i="1"/>
  <c r="H2" i="1"/>
  <c r="H3" i="1" s="1"/>
  <c r="H4" i="1" l="1"/>
  <c r="K3" i="1"/>
  <c r="R3" i="1" s="1"/>
  <c r="P3" i="1"/>
  <c r="T3" i="1" s="1"/>
  <c r="I4" i="1"/>
  <c r="P2" i="1"/>
  <c r="M3" i="1"/>
  <c r="K2" i="1"/>
  <c r="R2" i="1" s="1"/>
  <c r="T2" i="1" s="1"/>
  <c r="L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  <c r="M2" i="1" l="1"/>
  <c r="I5" i="1"/>
  <c r="P4" i="1"/>
  <c r="H5" i="1"/>
  <c r="K4" i="1"/>
  <c r="L10" i="1"/>
  <c r="P5" i="1" l="1"/>
  <c r="I6" i="1"/>
  <c r="H6" i="1"/>
  <c r="K5" i="1"/>
  <c r="M4" i="1"/>
  <c r="R4" i="1"/>
  <c r="T4" i="1" s="1"/>
  <c r="L11" i="1"/>
  <c r="H7" i="1" l="1"/>
  <c r="K6" i="1"/>
  <c r="P6" i="1"/>
  <c r="I7" i="1"/>
  <c r="M5" i="1"/>
  <c r="R5" i="1"/>
  <c r="T5" i="1" s="1"/>
  <c r="L12" i="1"/>
  <c r="P7" i="1" l="1"/>
  <c r="I8" i="1"/>
  <c r="T6" i="1"/>
  <c r="M6" i="1"/>
  <c r="R6" i="1"/>
  <c r="H8" i="1"/>
  <c r="K7" i="1"/>
  <c r="R7" i="1" s="1"/>
  <c r="M7" i="1"/>
  <c r="L13" i="1"/>
  <c r="H9" i="1" l="1"/>
  <c r="K8" i="1"/>
  <c r="R8" i="1" s="1"/>
  <c r="M8" i="1"/>
  <c r="P8" i="1"/>
  <c r="T8" i="1" s="1"/>
  <c r="I9" i="1"/>
  <c r="T7" i="1"/>
  <c r="L14" i="1"/>
  <c r="P9" i="1" l="1"/>
  <c r="I10" i="1"/>
  <c r="H10" i="1"/>
  <c r="K9" i="1"/>
  <c r="L15" i="1"/>
  <c r="M9" i="1" l="1"/>
  <c r="R9" i="1"/>
  <c r="T9" i="1" s="1"/>
  <c r="H11" i="1"/>
  <c r="K10" i="1"/>
  <c r="R10" i="1" s="1"/>
  <c r="P10" i="1"/>
  <c r="T10" i="1" s="1"/>
  <c r="I11" i="1"/>
  <c r="L16" i="1"/>
  <c r="M10" i="1" l="1"/>
  <c r="P11" i="1"/>
  <c r="I12" i="1"/>
  <c r="H12" i="1"/>
  <c r="K11" i="1"/>
  <c r="L17" i="1"/>
  <c r="M11" i="1" l="1"/>
  <c r="R11" i="1"/>
  <c r="T11" i="1" s="1"/>
  <c r="H13" i="1"/>
  <c r="K12" i="1"/>
  <c r="P12" i="1"/>
  <c r="I13" i="1"/>
  <c r="L18" i="1"/>
  <c r="H14" i="1" l="1"/>
  <c r="K13" i="1"/>
  <c r="R13" i="1" s="1"/>
  <c r="M13" i="1"/>
  <c r="P13" i="1"/>
  <c r="T13" i="1" s="1"/>
  <c r="I14" i="1"/>
  <c r="M12" i="1"/>
  <c r="R12" i="1"/>
  <c r="T12" i="1" s="1"/>
  <c r="L19" i="1"/>
  <c r="P14" i="1" l="1"/>
  <c r="I15" i="1"/>
  <c r="H15" i="1"/>
  <c r="K14" i="1"/>
  <c r="L20" i="1"/>
  <c r="H16" i="1" l="1"/>
  <c r="K15" i="1"/>
  <c r="M14" i="1"/>
  <c r="R14" i="1"/>
  <c r="T14" i="1" s="1"/>
  <c r="P15" i="1"/>
  <c r="I16" i="1"/>
  <c r="L21" i="1"/>
  <c r="P16" i="1" l="1"/>
  <c r="I17" i="1"/>
  <c r="M15" i="1"/>
  <c r="R15" i="1"/>
  <c r="T15" i="1" s="1"/>
  <c r="H17" i="1"/>
  <c r="K16" i="1"/>
  <c r="L22" i="1"/>
  <c r="M16" i="1" l="1"/>
  <c r="R16" i="1"/>
  <c r="H18" i="1"/>
  <c r="M17" i="1"/>
  <c r="K17" i="1"/>
  <c r="R17" i="1" s="1"/>
  <c r="P17" i="1"/>
  <c r="T17" i="1" s="1"/>
  <c r="I18" i="1"/>
  <c r="T16" i="1"/>
  <c r="L23" i="1"/>
  <c r="P18" i="1" l="1"/>
  <c r="I19" i="1"/>
  <c r="H19" i="1"/>
  <c r="M18" i="1"/>
  <c r="K18" i="1"/>
  <c r="R18" i="1" s="1"/>
  <c r="L24" i="1"/>
  <c r="H20" i="1" l="1"/>
  <c r="K19" i="1"/>
  <c r="R19" i="1" s="1"/>
  <c r="M19" i="1"/>
  <c r="P19" i="1"/>
  <c r="T19" i="1" s="1"/>
  <c r="I20" i="1"/>
  <c r="T18" i="1"/>
  <c r="L25" i="1"/>
  <c r="P20" i="1" l="1"/>
  <c r="T20" i="1" s="1"/>
  <c r="I21" i="1"/>
  <c r="H21" i="1"/>
  <c r="K20" i="1"/>
  <c r="R20" i="1" s="1"/>
  <c r="M20" i="1"/>
  <c r="H22" i="1" l="1"/>
  <c r="K21" i="1"/>
  <c r="R21" i="1" s="1"/>
  <c r="P21" i="1"/>
  <c r="I22" i="1"/>
  <c r="T21" i="1" l="1"/>
  <c r="M21" i="1"/>
  <c r="P22" i="1"/>
  <c r="T22" i="1" s="1"/>
  <c r="I23" i="1"/>
  <c r="H23" i="1"/>
  <c r="K22" i="1"/>
  <c r="R22" i="1" s="1"/>
  <c r="M22" i="1"/>
  <c r="H24" i="1" l="1"/>
  <c r="K23" i="1"/>
  <c r="R23" i="1" s="1"/>
  <c r="P23" i="1"/>
  <c r="T23" i="1" s="1"/>
  <c r="I24" i="1"/>
  <c r="M23" i="1" l="1"/>
  <c r="P24" i="1"/>
  <c r="T24" i="1" s="1"/>
  <c r="I25" i="1"/>
  <c r="P25" i="1" s="1"/>
  <c r="H25" i="1"/>
  <c r="K24" i="1"/>
  <c r="R24" i="1" s="1"/>
  <c r="M24" i="1"/>
  <c r="K25" i="1" l="1"/>
  <c r="R25" i="1" s="1"/>
  <c r="T25" i="1" s="1"/>
  <c r="M25" i="1" l="1"/>
</calcChain>
</file>

<file path=xl/sharedStrings.xml><?xml version="1.0" encoding="utf-8"?>
<sst xmlns="http://schemas.openxmlformats.org/spreadsheetml/2006/main" count="19" uniqueCount="9">
  <si>
    <t>t</t>
  </si>
  <si>
    <t>indust.</t>
  </si>
  <si>
    <t>rest.</t>
  </si>
  <si>
    <t>comm.</t>
  </si>
  <si>
    <t>resident</t>
  </si>
  <si>
    <t>sum</t>
  </si>
  <si>
    <t>navy</t>
  </si>
  <si>
    <t>air</t>
  </si>
  <si>
    <t>Savannah/Hilton Head Passengers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</si>
</sst>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tabSelected="1" workbookViewId="0">
      <selection sqref="A1:O1048576"/>
    </sheetView>
  </sheetViews>
  <sheetFormatPr defaultColWidth="8.85546875" defaultRowHeight="15" x14ac:dyDescent="0.25"/>
  <cols>
    <col min="2" max="9" width="8.85546875" customWidth="1"/>
    <col min="10" max="10" width="10" customWidth="1"/>
    <col min="11" max="14" width="8.85546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</v>
      </c>
      <c r="I1" t="s">
        <v>7</v>
      </c>
      <c r="J1" t="s">
        <v>3</v>
      </c>
      <c r="K1" t="s">
        <v>4</v>
      </c>
      <c r="L1" t="s">
        <v>6</v>
      </c>
      <c r="M1" t="s">
        <v>5</v>
      </c>
      <c r="O1" t="s">
        <v>1</v>
      </c>
      <c r="P1" t="s">
        <v>7</v>
      </c>
      <c r="Q1" t="s">
        <v>3</v>
      </c>
      <c r="R1" t="s">
        <v>4</v>
      </c>
      <c r="S1" t="s">
        <v>6</v>
      </c>
      <c r="T1" t="s">
        <v>5</v>
      </c>
    </row>
    <row r="2" spans="1:20" x14ac:dyDescent="0.25">
      <c r="A2">
        <v>12</v>
      </c>
      <c r="B2" s="1">
        <v>1092</v>
      </c>
      <c r="C2">
        <v>0</v>
      </c>
      <c r="D2">
        <v>0</v>
      </c>
      <c r="E2">
        <v>3514</v>
      </c>
      <c r="F2">
        <v>4606</v>
      </c>
      <c r="G2" s="1"/>
      <c r="H2" s="2">
        <f>O2/T27</f>
        <v>4.8133809536792173E-2</v>
      </c>
      <c r="I2" s="4">
        <f>I34/T27</f>
        <v>2.1637405960958835E-3</v>
      </c>
      <c r="J2" s="2">
        <f>D2/F2</f>
        <v>0</v>
      </c>
      <c r="K2" s="2">
        <f>1-(H2+I2+J2+L2)</f>
        <v>0.45413277784770023</v>
      </c>
      <c r="L2" s="2">
        <f>S2/T27</f>
        <v>0.49556967201941166</v>
      </c>
      <c r="M2" s="2">
        <f>SUM(H2:L2)</f>
        <v>1</v>
      </c>
      <c r="O2">
        <v>7062</v>
      </c>
      <c r="P2" s="1">
        <f>ROUND(I2*$T$27,0)</f>
        <v>317</v>
      </c>
      <c r="Q2">
        <f>ROUND(J2*$T$27,0)</f>
        <v>0</v>
      </c>
      <c r="R2">
        <f>ROUND(K2*$T$27,0)</f>
        <v>66629</v>
      </c>
      <c r="S2">
        <v>72708</v>
      </c>
      <c r="T2">
        <f>SUM(O2:S2)</f>
        <v>146716</v>
      </c>
    </row>
    <row r="3" spans="1:20" x14ac:dyDescent="0.25">
      <c r="A3">
        <v>1</v>
      </c>
      <c r="B3" s="1">
        <v>1092</v>
      </c>
      <c r="C3">
        <v>0</v>
      </c>
      <c r="D3">
        <v>0</v>
      </c>
      <c r="E3">
        <v>3514</v>
      </c>
      <c r="F3">
        <v>4606</v>
      </c>
      <c r="G3" s="1"/>
      <c r="H3" s="2">
        <f>H2</f>
        <v>4.8133809536792173E-2</v>
      </c>
      <c r="I3" s="4">
        <f>I2</f>
        <v>2.1637405960958835E-3</v>
      </c>
      <c r="J3" s="2">
        <f t="shared" ref="J3:J25" si="0">D3/F3</f>
        <v>0</v>
      </c>
      <c r="K3" s="2">
        <f t="shared" ref="K3:K25" si="1">1-(H3+I3+J3+L3)</f>
        <v>0.45413277784770023</v>
      </c>
      <c r="L3" s="2">
        <f>L2</f>
        <v>0.49556967201941166</v>
      </c>
      <c r="M3" s="2">
        <f t="shared" ref="M3:M25" si="2">SUM(H3:L3)</f>
        <v>1</v>
      </c>
      <c r="O3">
        <v>7062</v>
      </c>
      <c r="P3" s="1">
        <f t="shared" ref="P3:P25" si="3">ROUND(I3*$T$27,0)</f>
        <v>317</v>
      </c>
      <c r="Q3">
        <f t="shared" ref="Q3:Q25" si="4">ROUND(J3*$T$27,0)</f>
        <v>0</v>
      </c>
      <c r="R3">
        <f t="shared" ref="R3:R25" si="5">ROUND(K3*$T$27,0)</f>
        <v>66629</v>
      </c>
      <c r="S3">
        <v>72708</v>
      </c>
      <c r="T3">
        <f t="shared" ref="T3:T25" si="6">SUM(O3:S3)</f>
        <v>146716</v>
      </c>
    </row>
    <row r="4" spans="1:20" x14ac:dyDescent="0.25">
      <c r="A4">
        <v>2</v>
      </c>
      <c r="B4" s="1">
        <v>1092</v>
      </c>
      <c r="C4">
        <v>0</v>
      </c>
      <c r="D4">
        <v>0</v>
      </c>
      <c r="E4">
        <v>3514</v>
      </c>
      <c r="F4">
        <v>4606</v>
      </c>
      <c r="G4" s="1"/>
      <c r="H4" s="2">
        <f t="shared" ref="H4:I25" si="7">H3</f>
        <v>4.8133809536792173E-2</v>
      </c>
      <c r="I4" s="4">
        <f t="shared" si="7"/>
        <v>2.1637405960958835E-3</v>
      </c>
      <c r="J4" s="2">
        <f t="shared" si="0"/>
        <v>0</v>
      </c>
      <c r="K4" s="2">
        <f t="shared" si="1"/>
        <v>0.45413277784770023</v>
      </c>
      <c r="L4" s="2">
        <f t="shared" ref="L4:L25" si="8">L3</f>
        <v>0.49556967201941166</v>
      </c>
      <c r="M4" s="2">
        <f t="shared" si="2"/>
        <v>1</v>
      </c>
      <c r="O4">
        <v>7062</v>
      </c>
      <c r="P4" s="1">
        <f t="shared" si="3"/>
        <v>317</v>
      </c>
      <c r="Q4">
        <f t="shared" si="4"/>
        <v>0</v>
      </c>
      <c r="R4">
        <f t="shared" si="5"/>
        <v>66629</v>
      </c>
      <c r="S4">
        <v>72708</v>
      </c>
      <c r="T4">
        <f t="shared" si="6"/>
        <v>146716</v>
      </c>
    </row>
    <row r="5" spans="1:20" x14ac:dyDescent="0.25">
      <c r="A5">
        <v>3</v>
      </c>
      <c r="B5" s="1">
        <v>1092</v>
      </c>
      <c r="C5">
        <v>29</v>
      </c>
      <c r="D5">
        <v>0</v>
      </c>
      <c r="E5">
        <v>3485</v>
      </c>
      <c r="F5">
        <v>4606</v>
      </c>
      <c r="G5" s="1"/>
      <c r="H5" s="2">
        <f t="shared" si="7"/>
        <v>4.8133809536792173E-2</v>
      </c>
      <c r="I5" s="4">
        <f t="shared" si="7"/>
        <v>2.1637405960958835E-3</v>
      </c>
      <c r="J5" s="2">
        <f t="shared" si="0"/>
        <v>0</v>
      </c>
      <c r="K5" s="2">
        <f t="shared" si="1"/>
        <v>0.45413277784770023</v>
      </c>
      <c r="L5" s="2">
        <f t="shared" si="8"/>
        <v>0.49556967201941166</v>
      </c>
      <c r="M5" s="2">
        <f t="shared" si="2"/>
        <v>1</v>
      </c>
      <c r="O5">
        <v>7062</v>
      </c>
      <c r="P5" s="1">
        <f t="shared" si="3"/>
        <v>317</v>
      </c>
      <c r="Q5">
        <f t="shared" si="4"/>
        <v>0</v>
      </c>
      <c r="R5">
        <f t="shared" si="5"/>
        <v>66629</v>
      </c>
      <c r="S5">
        <v>72708</v>
      </c>
      <c r="T5">
        <f t="shared" si="6"/>
        <v>146716</v>
      </c>
    </row>
    <row r="6" spans="1:20" x14ac:dyDescent="0.25">
      <c r="A6">
        <v>4</v>
      </c>
      <c r="B6" s="1">
        <v>1092</v>
      </c>
      <c r="C6">
        <v>39</v>
      </c>
      <c r="D6">
        <v>0</v>
      </c>
      <c r="E6">
        <v>3475</v>
      </c>
      <c r="F6">
        <v>4606</v>
      </c>
      <c r="G6" s="1"/>
      <c r="H6" s="2">
        <f t="shared" si="7"/>
        <v>4.8133809536792173E-2</v>
      </c>
      <c r="I6" s="4">
        <f t="shared" si="7"/>
        <v>2.1637405960958835E-3</v>
      </c>
      <c r="J6" s="2">
        <f t="shared" si="0"/>
        <v>0</v>
      </c>
      <c r="K6" s="2">
        <f t="shared" si="1"/>
        <v>0.45413277784770023</v>
      </c>
      <c r="L6" s="2">
        <f t="shared" si="8"/>
        <v>0.49556967201941166</v>
      </c>
      <c r="M6" s="2">
        <f t="shared" si="2"/>
        <v>1</v>
      </c>
      <c r="O6">
        <v>7062</v>
      </c>
      <c r="P6" s="1">
        <f t="shared" si="3"/>
        <v>317</v>
      </c>
      <c r="Q6">
        <f t="shared" si="4"/>
        <v>0</v>
      </c>
      <c r="R6">
        <f t="shared" si="5"/>
        <v>66629</v>
      </c>
      <c r="S6">
        <v>72708</v>
      </c>
      <c r="T6">
        <f t="shared" si="6"/>
        <v>146716</v>
      </c>
    </row>
    <row r="7" spans="1:20" x14ac:dyDescent="0.25">
      <c r="A7">
        <v>5</v>
      </c>
      <c r="B7" s="1">
        <v>1092</v>
      </c>
      <c r="C7">
        <v>39</v>
      </c>
      <c r="D7">
        <v>312</v>
      </c>
      <c r="E7">
        <v>3163</v>
      </c>
      <c r="F7">
        <v>4605</v>
      </c>
      <c r="G7" s="1"/>
      <c r="H7" s="2">
        <f t="shared" si="7"/>
        <v>4.8133809536792173E-2</v>
      </c>
      <c r="I7" s="4">
        <f t="shared" si="7"/>
        <v>2.1637405960958835E-3</v>
      </c>
      <c r="J7" s="2">
        <f t="shared" si="0"/>
        <v>6.7752442996742671E-2</v>
      </c>
      <c r="K7" s="2">
        <f t="shared" si="1"/>
        <v>0.38638033485095757</v>
      </c>
      <c r="L7" s="2">
        <f t="shared" si="8"/>
        <v>0.49556967201941166</v>
      </c>
      <c r="M7" s="2">
        <f t="shared" si="2"/>
        <v>1</v>
      </c>
      <c r="O7">
        <v>7062</v>
      </c>
      <c r="P7" s="1">
        <f t="shared" si="3"/>
        <v>317</v>
      </c>
      <c r="Q7">
        <f t="shared" si="4"/>
        <v>9940</v>
      </c>
      <c r="R7">
        <f t="shared" si="5"/>
        <v>56688</v>
      </c>
      <c r="S7">
        <v>72708</v>
      </c>
      <c r="T7">
        <f t="shared" si="6"/>
        <v>146715</v>
      </c>
    </row>
    <row r="8" spans="1:20" x14ac:dyDescent="0.25">
      <c r="A8">
        <v>6</v>
      </c>
      <c r="B8" s="1">
        <v>1092</v>
      </c>
      <c r="C8">
        <v>54</v>
      </c>
      <c r="D8">
        <v>585</v>
      </c>
      <c r="E8">
        <v>2875</v>
      </c>
      <c r="F8">
        <v>4606</v>
      </c>
      <c r="G8" s="1"/>
      <c r="H8" s="2">
        <f t="shared" si="7"/>
        <v>4.8133809536792173E-2</v>
      </c>
      <c r="I8" s="4">
        <f t="shared" si="7"/>
        <v>2.1637405960958835E-3</v>
      </c>
      <c r="J8" s="2">
        <f t="shared" si="0"/>
        <v>0.12700825010855407</v>
      </c>
      <c r="K8" s="2">
        <f t="shared" si="1"/>
        <v>0.32712452773914624</v>
      </c>
      <c r="L8" s="2">
        <f t="shared" si="8"/>
        <v>0.49556967201941166</v>
      </c>
      <c r="M8" s="2">
        <f t="shared" si="2"/>
        <v>1</v>
      </c>
      <c r="O8">
        <v>7062</v>
      </c>
      <c r="P8" s="1">
        <f t="shared" si="3"/>
        <v>317</v>
      </c>
      <c r="Q8">
        <f t="shared" si="4"/>
        <v>18634</v>
      </c>
      <c r="R8">
        <f t="shared" si="5"/>
        <v>47994</v>
      </c>
      <c r="S8">
        <v>72708</v>
      </c>
      <c r="T8">
        <f t="shared" si="6"/>
        <v>146715</v>
      </c>
    </row>
    <row r="9" spans="1:20" x14ac:dyDescent="0.25">
      <c r="A9">
        <v>7</v>
      </c>
      <c r="B9" s="1">
        <v>1092</v>
      </c>
      <c r="C9">
        <v>59</v>
      </c>
      <c r="D9">
        <v>1046</v>
      </c>
      <c r="E9">
        <v>2409</v>
      </c>
      <c r="F9">
        <v>4606</v>
      </c>
      <c r="G9" s="1"/>
      <c r="H9" s="2">
        <f t="shared" si="7"/>
        <v>4.8133809536792173E-2</v>
      </c>
      <c r="I9" s="4">
        <f t="shared" si="7"/>
        <v>2.1637405960958835E-3</v>
      </c>
      <c r="J9" s="2">
        <f t="shared" si="0"/>
        <v>0.22709509335649153</v>
      </c>
      <c r="K9" s="2">
        <f t="shared" si="1"/>
        <v>0.22703768449120876</v>
      </c>
      <c r="L9" s="2">
        <f t="shared" si="8"/>
        <v>0.49556967201941166</v>
      </c>
      <c r="M9" s="2">
        <f t="shared" si="2"/>
        <v>1</v>
      </c>
      <c r="O9">
        <v>7062</v>
      </c>
      <c r="P9" s="1">
        <f t="shared" si="3"/>
        <v>317</v>
      </c>
      <c r="Q9">
        <f t="shared" si="4"/>
        <v>33318</v>
      </c>
      <c r="R9">
        <f t="shared" si="5"/>
        <v>33310</v>
      </c>
      <c r="S9">
        <v>72708</v>
      </c>
      <c r="T9">
        <f t="shared" si="6"/>
        <v>146715</v>
      </c>
    </row>
    <row r="10" spans="1:20" x14ac:dyDescent="0.25">
      <c r="A10">
        <v>8</v>
      </c>
      <c r="B10" s="1">
        <v>1092</v>
      </c>
      <c r="C10">
        <v>54</v>
      </c>
      <c r="D10">
        <v>1486</v>
      </c>
      <c r="E10">
        <v>1974</v>
      </c>
      <c r="F10">
        <v>4606</v>
      </c>
      <c r="G10" s="1"/>
      <c r="H10" s="2">
        <f t="shared" si="7"/>
        <v>4.8133809536792173E-2</v>
      </c>
      <c r="I10" s="4">
        <f t="shared" si="7"/>
        <v>2.1637405960958835E-3</v>
      </c>
      <c r="J10" s="2">
        <f t="shared" si="0"/>
        <v>0.32262266608771167</v>
      </c>
      <c r="K10" s="2">
        <f t="shared" si="1"/>
        <v>0.13151011175998861</v>
      </c>
      <c r="L10" s="2">
        <f t="shared" si="8"/>
        <v>0.49556967201941166</v>
      </c>
      <c r="M10" s="2">
        <f t="shared" si="2"/>
        <v>1</v>
      </c>
      <c r="O10">
        <v>7062</v>
      </c>
      <c r="P10" s="1">
        <f t="shared" si="3"/>
        <v>317</v>
      </c>
      <c r="Q10">
        <f t="shared" si="4"/>
        <v>47334</v>
      </c>
      <c r="R10">
        <f t="shared" si="5"/>
        <v>19295</v>
      </c>
      <c r="S10">
        <v>72708</v>
      </c>
      <c r="T10">
        <f t="shared" si="6"/>
        <v>146716</v>
      </c>
    </row>
    <row r="11" spans="1:20" x14ac:dyDescent="0.25">
      <c r="A11">
        <v>9</v>
      </c>
      <c r="B11" s="1">
        <v>1092</v>
      </c>
      <c r="C11">
        <v>49</v>
      </c>
      <c r="D11">
        <v>1860</v>
      </c>
      <c r="E11">
        <v>1605</v>
      </c>
      <c r="F11">
        <v>4606</v>
      </c>
      <c r="G11" s="1"/>
      <c r="H11" s="2">
        <f t="shared" si="7"/>
        <v>4.8133809536792173E-2</v>
      </c>
      <c r="I11" s="4">
        <f t="shared" si="7"/>
        <v>2.1637405960958835E-3</v>
      </c>
      <c r="J11" s="2">
        <f t="shared" si="0"/>
        <v>0.40382110290924883</v>
      </c>
      <c r="K11" s="2">
        <f t="shared" si="1"/>
        <v>5.0311674938451456E-2</v>
      </c>
      <c r="L11" s="2">
        <f t="shared" si="8"/>
        <v>0.49556967201941166</v>
      </c>
      <c r="M11" s="2">
        <f t="shared" si="2"/>
        <v>1</v>
      </c>
      <c r="O11">
        <v>7062</v>
      </c>
      <c r="P11" s="1">
        <f t="shared" si="3"/>
        <v>317</v>
      </c>
      <c r="Q11">
        <f t="shared" si="4"/>
        <v>59247</v>
      </c>
      <c r="R11">
        <f t="shared" si="5"/>
        <v>7382</v>
      </c>
      <c r="S11">
        <v>72708</v>
      </c>
      <c r="T11">
        <f t="shared" si="6"/>
        <v>146716</v>
      </c>
    </row>
    <row r="12" spans="1:20" x14ac:dyDescent="0.25">
      <c r="A12">
        <v>10</v>
      </c>
      <c r="B12" s="1">
        <v>1092</v>
      </c>
      <c r="C12">
        <v>59</v>
      </c>
      <c r="D12">
        <v>1916</v>
      </c>
      <c r="E12">
        <v>1539</v>
      </c>
      <c r="F12">
        <v>4606</v>
      </c>
      <c r="G12" s="1"/>
      <c r="H12" s="2">
        <f t="shared" si="7"/>
        <v>4.8133809536792173E-2</v>
      </c>
      <c r="I12" s="4">
        <f t="shared" si="7"/>
        <v>2.1637405960958835E-3</v>
      </c>
      <c r="J12" s="2">
        <f t="shared" si="0"/>
        <v>0.41597915762049503</v>
      </c>
      <c r="K12" s="2">
        <f t="shared" si="1"/>
        <v>3.8153620227205254E-2</v>
      </c>
      <c r="L12" s="2">
        <f t="shared" si="8"/>
        <v>0.49556967201941166</v>
      </c>
      <c r="M12" s="2">
        <f t="shared" si="2"/>
        <v>1</v>
      </c>
      <c r="O12">
        <v>7062</v>
      </c>
      <c r="P12" s="1">
        <f t="shared" si="3"/>
        <v>317</v>
      </c>
      <c r="Q12">
        <f t="shared" si="4"/>
        <v>61031</v>
      </c>
      <c r="R12">
        <f t="shared" si="5"/>
        <v>5598</v>
      </c>
      <c r="S12">
        <v>72708</v>
      </c>
      <c r="T12">
        <f t="shared" si="6"/>
        <v>146716</v>
      </c>
    </row>
    <row r="13" spans="1:20" x14ac:dyDescent="0.25">
      <c r="A13">
        <v>11</v>
      </c>
      <c r="B13" s="1">
        <v>1092</v>
      </c>
      <c r="C13">
        <v>108</v>
      </c>
      <c r="D13">
        <v>2053</v>
      </c>
      <c r="E13">
        <v>1353</v>
      </c>
      <c r="F13">
        <v>4606</v>
      </c>
      <c r="G13" s="1"/>
      <c r="H13" s="2">
        <f t="shared" si="7"/>
        <v>4.8133809536792173E-2</v>
      </c>
      <c r="I13" s="4">
        <f t="shared" si="7"/>
        <v>2.1637405960958835E-3</v>
      </c>
      <c r="J13" s="2">
        <f t="shared" si="0"/>
        <v>0.44572297003907946</v>
      </c>
      <c r="K13" s="2">
        <f t="shared" si="1"/>
        <v>8.4098078086207728E-3</v>
      </c>
      <c r="L13" s="2">
        <f t="shared" si="8"/>
        <v>0.49556967201941166</v>
      </c>
      <c r="M13" s="2">
        <f t="shared" si="2"/>
        <v>1</v>
      </c>
      <c r="O13">
        <v>7062</v>
      </c>
      <c r="P13" s="1">
        <f t="shared" si="3"/>
        <v>317</v>
      </c>
      <c r="Q13">
        <f t="shared" si="4"/>
        <v>65395</v>
      </c>
      <c r="R13">
        <f t="shared" si="5"/>
        <v>1234</v>
      </c>
      <c r="S13">
        <v>72708</v>
      </c>
      <c r="T13">
        <f t="shared" si="6"/>
        <v>146716</v>
      </c>
    </row>
    <row r="14" spans="1:20" x14ac:dyDescent="0.25">
      <c r="A14">
        <v>12</v>
      </c>
      <c r="B14" s="1">
        <v>1092</v>
      </c>
      <c r="C14">
        <v>103</v>
      </c>
      <c r="D14">
        <v>2057</v>
      </c>
      <c r="E14">
        <v>1354</v>
      </c>
      <c r="F14">
        <v>4606</v>
      </c>
      <c r="G14" s="1"/>
      <c r="H14" s="2">
        <f t="shared" si="7"/>
        <v>4.8133809536792173E-2</v>
      </c>
      <c r="I14" s="4">
        <f t="shared" si="7"/>
        <v>2.1637405960958835E-3</v>
      </c>
      <c r="J14" s="2">
        <f t="shared" si="0"/>
        <v>0.44659140251845419</v>
      </c>
      <c r="K14" s="2">
        <f t="shared" si="1"/>
        <v>7.5413753292461472E-3</v>
      </c>
      <c r="L14" s="2">
        <f t="shared" si="8"/>
        <v>0.49556967201941166</v>
      </c>
      <c r="M14" s="2">
        <f t="shared" si="2"/>
        <v>1</v>
      </c>
      <c r="O14">
        <v>7062</v>
      </c>
      <c r="P14" s="1">
        <f t="shared" si="3"/>
        <v>317</v>
      </c>
      <c r="Q14">
        <f t="shared" si="4"/>
        <v>65522</v>
      </c>
      <c r="R14">
        <f t="shared" si="5"/>
        <v>1106</v>
      </c>
      <c r="S14">
        <v>72708</v>
      </c>
      <c r="T14">
        <f t="shared" si="6"/>
        <v>146715</v>
      </c>
    </row>
    <row r="15" spans="1:20" x14ac:dyDescent="0.25">
      <c r="A15">
        <v>1</v>
      </c>
      <c r="B15" s="1">
        <v>1092</v>
      </c>
      <c r="C15">
        <v>88</v>
      </c>
      <c r="D15">
        <v>2068</v>
      </c>
      <c r="E15">
        <v>1358</v>
      </c>
      <c r="F15">
        <v>4606</v>
      </c>
      <c r="G15" s="1"/>
      <c r="H15" s="2">
        <f t="shared" si="7"/>
        <v>4.8133809536792173E-2</v>
      </c>
      <c r="I15" s="4">
        <f t="shared" si="7"/>
        <v>2.1637405960958835E-3</v>
      </c>
      <c r="J15" s="2">
        <f t="shared" si="0"/>
        <v>0.44897959183673469</v>
      </c>
      <c r="K15" s="2">
        <f t="shared" si="1"/>
        <v>5.1531860109655936E-3</v>
      </c>
      <c r="L15" s="2">
        <f t="shared" si="8"/>
        <v>0.49556967201941166</v>
      </c>
      <c r="M15" s="2">
        <f t="shared" si="2"/>
        <v>1</v>
      </c>
      <c r="O15">
        <v>7062</v>
      </c>
      <c r="P15" s="1">
        <f t="shared" si="3"/>
        <v>317</v>
      </c>
      <c r="Q15">
        <f t="shared" si="4"/>
        <v>65872</v>
      </c>
      <c r="R15">
        <f t="shared" si="5"/>
        <v>756</v>
      </c>
      <c r="S15">
        <v>72708</v>
      </c>
      <c r="T15">
        <f t="shared" si="6"/>
        <v>146715</v>
      </c>
    </row>
    <row r="16" spans="1:20" x14ac:dyDescent="0.25">
      <c r="A16">
        <v>2</v>
      </c>
      <c r="B16" s="1">
        <v>1092</v>
      </c>
      <c r="C16">
        <v>83</v>
      </c>
      <c r="D16">
        <v>2024</v>
      </c>
      <c r="E16">
        <v>1407</v>
      </c>
      <c r="F16">
        <v>4606</v>
      </c>
      <c r="G16" s="1"/>
      <c r="H16" s="2">
        <f t="shared" si="7"/>
        <v>4.8133809536792173E-2</v>
      </c>
      <c r="I16" s="4">
        <f t="shared" si="7"/>
        <v>2.1637405960958835E-3</v>
      </c>
      <c r="J16" s="2">
        <f t="shared" si="0"/>
        <v>0.4394268345636127</v>
      </c>
      <c r="K16" s="2">
        <f t="shared" si="1"/>
        <v>1.4705943284087586E-2</v>
      </c>
      <c r="L16" s="2">
        <f t="shared" si="8"/>
        <v>0.49556967201941166</v>
      </c>
      <c r="M16" s="2">
        <f t="shared" si="2"/>
        <v>1</v>
      </c>
      <c r="O16">
        <v>7062</v>
      </c>
      <c r="P16" s="1">
        <f t="shared" si="3"/>
        <v>317</v>
      </c>
      <c r="Q16">
        <f t="shared" si="4"/>
        <v>64471</v>
      </c>
      <c r="R16">
        <f t="shared" si="5"/>
        <v>2158</v>
      </c>
      <c r="S16">
        <v>72708</v>
      </c>
      <c r="T16">
        <f t="shared" si="6"/>
        <v>146716</v>
      </c>
    </row>
    <row r="17" spans="1:20" x14ac:dyDescent="0.25">
      <c r="A17">
        <v>3</v>
      </c>
      <c r="B17" s="1">
        <v>1092</v>
      </c>
      <c r="C17">
        <v>79</v>
      </c>
      <c r="D17">
        <v>1942</v>
      </c>
      <c r="E17">
        <v>1493</v>
      </c>
      <c r="F17">
        <v>4606</v>
      </c>
      <c r="G17" s="1"/>
      <c r="H17" s="2">
        <f t="shared" si="7"/>
        <v>4.8133809536792173E-2</v>
      </c>
      <c r="I17" s="4">
        <f t="shared" si="7"/>
        <v>2.1637405960958835E-3</v>
      </c>
      <c r="J17" s="2">
        <f t="shared" si="0"/>
        <v>0.42162396873643077</v>
      </c>
      <c r="K17" s="2">
        <f t="shared" si="1"/>
        <v>3.2508809111269521E-2</v>
      </c>
      <c r="L17" s="2">
        <f t="shared" si="8"/>
        <v>0.49556967201941166</v>
      </c>
      <c r="M17" s="2">
        <f t="shared" si="2"/>
        <v>1</v>
      </c>
      <c r="O17">
        <v>7062</v>
      </c>
      <c r="P17" s="1">
        <f t="shared" si="3"/>
        <v>317</v>
      </c>
      <c r="Q17">
        <f t="shared" si="4"/>
        <v>61859</v>
      </c>
      <c r="R17">
        <f t="shared" si="5"/>
        <v>4770</v>
      </c>
      <c r="S17">
        <v>72708</v>
      </c>
      <c r="T17">
        <f t="shared" si="6"/>
        <v>146716</v>
      </c>
    </row>
    <row r="18" spans="1:20" x14ac:dyDescent="0.25">
      <c r="A18">
        <v>4</v>
      </c>
      <c r="B18" s="1">
        <v>1092</v>
      </c>
      <c r="C18">
        <v>83</v>
      </c>
      <c r="D18">
        <v>1787</v>
      </c>
      <c r="E18">
        <v>1644</v>
      </c>
      <c r="F18">
        <v>4606</v>
      </c>
      <c r="G18" s="1"/>
      <c r="H18" s="2">
        <f t="shared" si="7"/>
        <v>4.8133809536792173E-2</v>
      </c>
      <c r="I18" s="4">
        <f t="shared" si="7"/>
        <v>2.1637405960958835E-3</v>
      </c>
      <c r="J18" s="2">
        <f t="shared" si="0"/>
        <v>0.38797221016066002</v>
      </c>
      <c r="K18" s="2">
        <f t="shared" si="1"/>
        <v>6.6160567687040261E-2</v>
      </c>
      <c r="L18" s="2">
        <f t="shared" si="8"/>
        <v>0.49556967201941166</v>
      </c>
      <c r="M18" s="2">
        <f t="shared" si="2"/>
        <v>1</v>
      </c>
      <c r="O18">
        <v>7062</v>
      </c>
      <c r="P18" s="1">
        <f t="shared" si="3"/>
        <v>317</v>
      </c>
      <c r="Q18">
        <f t="shared" si="4"/>
        <v>56922</v>
      </c>
      <c r="R18">
        <f t="shared" si="5"/>
        <v>9707</v>
      </c>
      <c r="S18">
        <v>72708</v>
      </c>
      <c r="T18">
        <f t="shared" si="6"/>
        <v>146716</v>
      </c>
    </row>
    <row r="19" spans="1:20" x14ac:dyDescent="0.25">
      <c r="A19">
        <v>5</v>
      </c>
      <c r="B19" s="1">
        <v>1092</v>
      </c>
      <c r="C19">
        <v>88</v>
      </c>
      <c r="D19">
        <v>1460</v>
      </c>
      <c r="E19">
        <v>1966</v>
      </c>
      <c r="F19">
        <v>4606</v>
      </c>
      <c r="G19" s="1"/>
      <c r="H19" s="2">
        <f t="shared" si="7"/>
        <v>4.8133809536792173E-2</v>
      </c>
      <c r="I19" s="4">
        <f t="shared" si="7"/>
        <v>2.1637405960958835E-3</v>
      </c>
      <c r="J19" s="2">
        <f t="shared" si="0"/>
        <v>0.31697785497177594</v>
      </c>
      <c r="K19" s="2">
        <f t="shared" si="1"/>
        <v>0.13715492287592435</v>
      </c>
      <c r="L19" s="2">
        <f t="shared" si="8"/>
        <v>0.49556967201941166</v>
      </c>
      <c r="M19" s="2">
        <f t="shared" si="2"/>
        <v>1</v>
      </c>
      <c r="O19">
        <v>7062</v>
      </c>
      <c r="P19" s="1">
        <f t="shared" si="3"/>
        <v>317</v>
      </c>
      <c r="Q19">
        <f t="shared" si="4"/>
        <v>46506</v>
      </c>
      <c r="R19">
        <f t="shared" si="5"/>
        <v>20123</v>
      </c>
      <c r="S19">
        <v>72708</v>
      </c>
      <c r="T19">
        <f t="shared" si="6"/>
        <v>146716</v>
      </c>
    </row>
    <row r="20" spans="1:20" x14ac:dyDescent="0.25">
      <c r="A20">
        <v>6</v>
      </c>
      <c r="B20" s="1">
        <v>1092</v>
      </c>
      <c r="C20">
        <v>108</v>
      </c>
      <c r="D20">
        <v>1018</v>
      </c>
      <c r="E20">
        <v>2388</v>
      </c>
      <c r="F20">
        <v>4606</v>
      </c>
      <c r="G20" s="1"/>
      <c r="H20" s="2">
        <f t="shared" si="7"/>
        <v>4.8133809536792173E-2</v>
      </c>
      <c r="I20" s="4">
        <f t="shared" si="7"/>
        <v>2.1637405960958835E-3</v>
      </c>
      <c r="J20" s="2">
        <f t="shared" si="0"/>
        <v>0.22101606600086843</v>
      </c>
      <c r="K20" s="2">
        <f t="shared" si="1"/>
        <v>0.2331167118468318</v>
      </c>
      <c r="L20" s="2">
        <f t="shared" si="8"/>
        <v>0.49556967201941166</v>
      </c>
      <c r="M20" s="2">
        <f t="shared" si="2"/>
        <v>1</v>
      </c>
      <c r="O20">
        <v>7062</v>
      </c>
      <c r="P20" s="1">
        <f t="shared" si="3"/>
        <v>317</v>
      </c>
      <c r="Q20">
        <f t="shared" si="4"/>
        <v>32427</v>
      </c>
      <c r="R20">
        <f t="shared" si="5"/>
        <v>34202</v>
      </c>
      <c r="S20">
        <v>72708</v>
      </c>
      <c r="T20">
        <f t="shared" si="6"/>
        <v>146716</v>
      </c>
    </row>
    <row r="21" spans="1:20" x14ac:dyDescent="0.25">
      <c r="A21">
        <v>7</v>
      </c>
      <c r="B21" s="1">
        <v>1092</v>
      </c>
      <c r="C21">
        <v>108</v>
      </c>
      <c r="D21">
        <v>611</v>
      </c>
      <c r="E21">
        <v>2795</v>
      </c>
      <c r="F21">
        <v>4606</v>
      </c>
      <c r="G21" s="1"/>
      <c r="H21" s="2">
        <f t="shared" si="7"/>
        <v>4.8133809536792173E-2</v>
      </c>
      <c r="I21" s="4">
        <f t="shared" si="7"/>
        <v>2.1637405960958835E-3</v>
      </c>
      <c r="J21" s="2">
        <f t="shared" si="0"/>
        <v>0.1326530612244898</v>
      </c>
      <c r="K21" s="2">
        <f t="shared" si="1"/>
        <v>0.32147971662321051</v>
      </c>
      <c r="L21" s="2">
        <f t="shared" si="8"/>
        <v>0.49556967201941166</v>
      </c>
      <c r="M21" s="2">
        <f t="shared" si="2"/>
        <v>1</v>
      </c>
      <c r="O21">
        <v>7062</v>
      </c>
      <c r="P21" s="1">
        <f t="shared" si="3"/>
        <v>317</v>
      </c>
      <c r="Q21">
        <f t="shared" si="4"/>
        <v>19462</v>
      </c>
      <c r="R21">
        <f t="shared" si="5"/>
        <v>47166</v>
      </c>
      <c r="S21">
        <v>72708</v>
      </c>
      <c r="T21">
        <f t="shared" si="6"/>
        <v>146715</v>
      </c>
    </row>
    <row r="22" spans="1:20" x14ac:dyDescent="0.25">
      <c r="A22">
        <v>8</v>
      </c>
      <c r="B22" s="1">
        <v>1092</v>
      </c>
      <c r="C22">
        <v>88</v>
      </c>
      <c r="D22">
        <v>312</v>
      </c>
      <c r="E22">
        <v>3114</v>
      </c>
      <c r="F22">
        <v>4606</v>
      </c>
      <c r="G22" s="1"/>
      <c r="H22" s="2">
        <f t="shared" si="7"/>
        <v>4.8133809536792173E-2</v>
      </c>
      <c r="I22" s="4">
        <f t="shared" si="7"/>
        <v>2.1637405960958835E-3</v>
      </c>
      <c r="J22" s="2">
        <f t="shared" si="0"/>
        <v>6.7737733391228835E-2</v>
      </c>
      <c r="K22" s="2">
        <f t="shared" si="1"/>
        <v>0.38639504445647144</v>
      </c>
      <c r="L22" s="2">
        <f t="shared" si="8"/>
        <v>0.49556967201941166</v>
      </c>
      <c r="M22" s="2">
        <f t="shared" si="2"/>
        <v>1</v>
      </c>
      <c r="O22">
        <v>7062</v>
      </c>
      <c r="P22" s="1">
        <f t="shared" si="3"/>
        <v>317</v>
      </c>
      <c r="Q22">
        <f t="shared" si="4"/>
        <v>9938</v>
      </c>
      <c r="R22">
        <f t="shared" si="5"/>
        <v>56690</v>
      </c>
      <c r="S22">
        <v>72708</v>
      </c>
      <c r="T22">
        <f t="shared" si="6"/>
        <v>146715</v>
      </c>
    </row>
    <row r="23" spans="1:20" x14ac:dyDescent="0.25">
      <c r="A23">
        <v>9</v>
      </c>
      <c r="B23" s="1">
        <v>1092</v>
      </c>
      <c r="C23">
        <v>59</v>
      </c>
      <c r="D23">
        <v>0</v>
      </c>
      <c r="E23">
        <v>3455</v>
      </c>
      <c r="F23">
        <v>4606</v>
      </c>
      <c r="G23" s="1"/>
      <c r="H23" s="2">
        <f t="shared" si="7"/>
        <v>4.8133809536792173E-2</v>
      </c>
      <c r="I23" s="4">
        <f t="shared" si="7"/>
        <v>2.1637405960958835E-3</v>
      </c>
      <c r="J23" s="2">
        <f t="shared" si="0"/>
        <v>0</v>
      </c>
      <c r="K23" s="2">
        <f t="shared" si="1"/>
        <v>0.45413277784770023</v>
      </c>
      <c r="L23" s="2">
        <f t="shared" si="8"/>
        <v>0.49556967201941166</v>
      </c>
      <c r="M23" s="2">
        <f t="shared" si="2"/>
        <v>1</v>
      </c>
      <c r="O23">
        <v>7062</v>
      </c>
      <c r="P23" s="1">
        <f t="shared" si="3"/>
        <v>317</v>
      </c>
      <c r="Q23">
        <f t="shared" si="4"/>
        <v>0</v>
      </c>
      <c r="R23">
        <f t="shared" si="5"/>
        <v>66629</v>
      </c>
      <c r="S23">
        <v>72708</v>
      </c>
      <c r="T23">
        <f t="shared" si="6"/>
        <v>146716</v>
      </c>
    </row>
    <row r="24" spans="1:20" x14ac:dyDescent="0.25">
      <c r="A24">
        <v>10</v>
      </c>
      <c r="B24" s="1">
        <v>1092</v>
      </c>
      <c r="C24">
        <v>29</v>
      </c>
      <c r="D24">
        <v>0</v>
      </c>
      <c r="E24">
        <v>3485</v>
      </c>
      <c r="F24">
        <v>4606</v>
      </c>
      <c r="G24" s="1"/>
      <c r="H24" s="2">
        <f t="shared" si="7"/>
        <v>4.8133809536792173E-2</v>
      </c>
      <c r="I24" s="4">
        <f t="shared" si="7"/>
        <v>2.1637405960958835E-3</v>
      </c>
      <c r="J24" s="2">
        <f t="shared" si="0"/>
        <v>0</v>
      </c>
      <c r="K24" s="2">
        <f t="shared" si="1"/>
        <v>0.45413277784770023</v>
      </c>
      <c r="L24" s="2">
        <f t="shared" si="8"/>
        <v>0.49556967201941166</v>
      </c>
      <c r="M24" s="2">
        <f t="shared" si="2"/>
        <v>1</v>
      </c>
      <c r="O24">
        <v>7062</v>
      </c>
      <c r="P24" s="1">
        <f t="shared" si="3"/>
        <v>317</v>
      </c>
      <c r="Q24">
        <f t="shared" si="4"/>
        <v>0</v>
      </c>
      <c r="R24">
        <f t="shared" si="5"/>
        <v>66629</v>
      </c>
      <c r="S24">
        <v>72708</v>
      </c>
      <c r="T24">
        <f t="shared" si="6"/>
        <v>146716</v>
      </c>
    </row>
    <row r="25" spans="1:20" x14ac:dyDescent="0.25">
      <c r="A25">
        <v>11</v>
      </c>
      <c r="B25" s="1">
        <v>1092</v>
      </c>
      <c r="C25">
        <v>10</v>
      </c>
      <c r="D25">
        <v>0</v>
      </c>
      <c r="E25">
        <v>3504</v>
      </c>
      <c r="F25">
        <v>4606</v>
      </c>
      <c r="G25" s="1"/>
      <c r="H25" s="2">
        <f t="shared" si="7"/>
        <v>4.8133809536792173E-2</v>
      </c>
      <c r="I25" s="4">
        <f t="shared" si="7"/>
        <v>2.1637405960958835E-3</v>
      </c>
      <c r="J25" s="2">
        <f t="shared" si="0"/>
        <v>0</v>
      </c>
      <c r="K25" s="2">
        <f t="shared" si="1"/>
        <v>0.45413277784770023</v>
      </c>
      <c r="L25" s="2">
        <f t="shared" si="8"/>
        <v>0.49556967201941166</v>
      </c>
      <c r="M25" s="2">
        <f t="shared" si="2"/>
        <v>1</v>
      </c>
      <c r="O25">
        <v>7062</v>
      </c>
      <c r="P25" s="1">
        <f t="shared" si="3"/>
        <v>317</v>
      </c>
      <c r="Q25">
        <f t="shared" si="4"/>
        <v>0</v>
      </c>
      <c r="R25">
        <f t="shared" si="5"/>
        <v>66629</v>
      </c>
      <c r="S25">
        <v>72708</v>
      </c>
      <c r="T25">
        <f t="shared" si="6"/>
        <v>146716</v>
      </c>
    </row>
    <row r="27" spans="1:20" hidden="1" x14ac:dyDescent="0.25">
      <c r="T27">
        <v>146716</v>
      </c>
    </row>
    <row r="32" spans="1:20" x14ac:dyDescent="0.25">
      <c r="E32" t="s">
        <v>8</v>
      </c>
      <c r="I32" s="3">
        <v>2780909</v>
      </c>
    </row>
    <row r="34" spans="9:9" x14ac:dyDescent="0.25">
      <c r="I34">
        <f>I32/365/24</f>
        <v>317.45536529680368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 Kadinski</dc:creator>
  <cp:lastModifiedBy>Brent Vizanko</cp:lastModifiedBy>
  <dcterms:created xsi:type="dcterms:W3CDTF">2015-06-05T18:19:34Z</dcterms:created>
  <dcterms:modified xsi:type="dcterms:W3CDTF">2023-05-09T14:57:39Z</dcterms:modified>
</cp:coreProperties>
</file>