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squar\Documents\hydraulic_ABM\Input Files\"/>
    </mc:Choice>
  </mc:AlternateContent>
  <xr:revisionPtr revIDLastSave="0" documentId="13_ncr:1_{CB2FEEC9-EC37-4FE7-A918-21A2D0348647}" xr6:coauthVersionLast="47" xr6:coauthVersionMax="47" xr10:uidLastSave="{00000000-0000-0000-0000-000000000000}"/>
  <bookViews>
    <workbookView xWindow="-22965" yWindow="4350" windowWidth="21600" windowHeight="1138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H5" i="1" s="1"/>
  <c r="I5" i="1" s="1"/>
  <c r="D19" i="1"/>
  <c r="F19" i="1" s="1"/>
  <c r="F11" i="1"/>
  <c r="F10" i="1"/>
  <c r="F20" i="1"/>
  <c r="H9" i="1"/>
  <c r="H10" i="1"/>
  <c r="I10" i="1" s="1"/>
  <c r="H11" i="1"/>
  <c r="H12" i="1"/>
  <c r="H13" i="1"/>
  <c r="H14" i="1"/>
  <c r="H15" i="1"/>
  <c r="H16" i="1"/>
  <c r="H17" i="1"/>
  <c r="H18" i="1"/>
  <c r="H19" i="1"/>
  <c r="H20" i="1"/>
  <c r="I20" i="1" s="1"/>
  <c r="H21" i="1"/>
  <c r="H22" i="1"/>
  <c r="I22" i="1" s="1"/>
  <c r="H8" i="1"/>
  <c r="H24" i="1"/>
  <c r="H25" i="1"/>
  <c r="H23" i="1"/>
  <c r="F8" i="1"/>
  <c r="F9" i="1"/>
  <c r="F12" i="1"/>
  <c r="F13" i="1"/>
  <c r="F14" i="1"/>
  <c r="F15" i="1"/>
  <c r="I15" i="1" s="1"/>
  <c r="F16" i="1"/>
  <c r="F17" i="1"/>
  <c r="F18" i="1"/>
  <c r="F21" i="1"/>
  <c r="F22" i="1"/>
  <c r="H7" i="1"/>
  <c r="I3" i="1"/>
  <c r="I4" i="1"/>
  <c r="I6" i="1"/>
  <c r="I7" i="1"/>
  <c r="I8" i="1"/>
  <c r="I9" i="1"/>
  <c r="I11" i="1"/>
  <c r="I12" i="1"/>
  <c r="I13" i="1"/>
  <c r="I14" i="1"/>
  <c r="I21" i="1"/>
  <c r="I23" i="1"/>
  <c r="I24" i="1"/>
  <c r="I25" i="1"/>
  <c r="H3" i="1"/>
  <c r="H4" i="1"/>
  <c r="H2" i="1"/>
  <c r="I2" i="1"/>
  <c r="H6" i="1"/>
  <c r="F7" i="1"/>
  <c r="D15" i="1"/>
  <c r="D16" i="1"/>
  <c r="D17" i="1"/>
  <c r="D18" i="1"/>
  <c r="D20" i="1"/>
  <c r="D21" i="1"/>
  <c r="D22" i="1"/>
  <c r="D23" i="1"/>
  <c r="D24" i="1"/>
  <c r="D25" i="1"/>
  <c r="D14" i="1"/>
  <c r="D6" i="1"/>
  <c r="D7" i="1"/>
  <c r="D8" i="1"/>
  <c r="D9" i="1"/>
  <c r="D10" i="1"/>
  <c r="D11" i="1"/>
  <c r="D12" i="1"/>
  <c r="I19" i="1" l="1"/>
  <c r="I18" i="1"/>
  <c r="I17" i="1"/>
  <c r="I16" i="1"/>
</calcChain>
</file>

<file path=xl/sharedStrings.xml><?xml version="1.0" encoding="utf-8"?>
<sst xmlns="http://schemas.openxmlformats.org/spreadsheetml/2006/main" count="9" uniqueCount="6">
  <si>
    <t>t</t>
  </si>
  <si>
    <t>indust.</t>
  </si>
  <si>
    <t>rest.</t>
  </si>
  <si>
    <t>comm.</t>
  </si>
  <si>
    <t>resident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</si>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</sst>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L7" sqref="L7"/>
    </sheetView>
  </sheetViews>
  <sheetFormatPr defaultColWidth="8.85546875" defaultRowHeight="15" x14ac:dyDescent="0.25"/>
  <cols>
    <col min="3" max="3" width="0" hidden="1" customWidth="1"/>
    <col min="5" max="5" width="0" hidden="1" customWidth="1"/>
    <col min="7" max="7" width="0" hidden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3</v>
      </c>
      <c r="G1" t="s">
        <v>4</v>
      </c>
      <c r="H1" t="s">
        <v>4</v>
      </c>
      <c r="I1" t="s">
        <v>5</v>
      </c>
    </row>
    <row r="2" spans="1:9" x14ac:dyDescent="0.25">
      <c r="A2">
        <v>12</v>
      </c>
      <c r="B2" s="1">
        <v>1092</v>
      </c>
      <c r="C2" s="1">
        <v>0</v>
      </c>
      <c r="D2" s="1">
        <v>0</v>
      </c>
      <c r="E2" s="1">
        <v>0</v>
      </c>
      <c r="F2" s="1">
        <v>0</v>
      </c>
      <c r="G2" s="1">
        <v>3514</v>
      </c>
      <c r="H2" s="1">
        <f>G2</f>
        <v>3514</v>
      </c>
      <c r="I2" s="1">
        <f>SUM(H2,F2,D2,B2)</f>
        <v>4606</v>
      </c>
    </row>
    <row r="3" spans="1:9" x14ac:dyDescent="0.25">
      <c r="A3">
        <v>1</v>
      </c>
      <c r="B3" s="1">
        <v>1092</v>
      </c>
      <c r="C3" s="1">
        <v>0</v>
      </c>
      <c r="D3" s="1">
        <v>0</v>
      </c>
      <c r="E3" s="1">
        <v>0</v>
      </c>
      <c r="F3" s="1">
        <v>0</v>
      </c>
      <c r="G3" s="1">
        <v>3514</v>
      </c>
      <c r="H3" s="1">
        <f t="shared" ref="H3:H4" si="0">G3</f>
        <v>3514</v>
      </c>
      <c r="I3" s="1">
        <f t="shared" ref="I3:I25" si="1">SUM(H3,F3,D3,B3)</f>
        <v>4606</v>
      </c>
    </row>
    <row r="4" spans="1:9" x14ac:dyDescent="0.25">
      <c r="A4">
        <v>2</v>
      </c>
      <c r="B4" s="1">
        <v>1092</v>
      </c>
      <c r="C4" s="1">
        <v>0</v>
      </c>
      <c r="D4" s="1">
        <v>0</v>
      </c>
      <c r="E4" s="1">
        <v>0</v>
      </c>
      <c r="F4" s="1">
        <v>0</v>
      </c>
      <c r="G4" s="1">
        <v>3514</v>
      </c>
      <c r="H4" s="1">
        <f t="shared" si="0"/>
        <v>3514</v>
      </c>
      <c r="I4" s="1">
        <f t="shared" si="1"/>
        <v>4606</v>
      </c>
    </row>
    <row r="5" spans="1:9" x14ac:dyDescent="0.25">
      <c r="A5">
        <v>3</v>
      </c>
      <c r="B5" s="1">
        <v>1092</v>
      </c>
      <c r="C5" s="1">
        <v>6</v>
      </c>
      <c r="D5" s="1">
        <f>ROUND(C5*$D$13/$C$13, 0)</f>
        <v>29</v>
      </c>
      <c r="E5" s="1">
        <v>0</v>
      </c>
      <c r="F5" s="1">
        <v>0</v>
      </c>
      <c r="G5" s="1">
        <v>3508</v>
      </c>
      <c r="H5" s="1">
        <f>G5-(D5-C5)</f>
        <v>3485</v>
      </c>
      <c r="I5" s="1">
        <f t="shared" si="1"/>
        <v>4606</v>
      </c>
    </row>
    <row r="6" spans="1:9" x14ac:dyDescent="0.25">
      <c r="A6">
        <v>4</v>
      </c>
      <c r="B6" s="1">
        <v>1092</v>
      </c>
      <c r="C6" s="1">
        <v>8</v>
      </c>
      <c r="D6" s="1">
        <f t="shared" ref="D6:D25" si="2">ROUND(C6*$D$13/$C$13, 0)</f>
        <v>39</v>
      </c>
      <c r="E6" s="1">
        <v>0</v>
      </c>
      <c r="F6" s="1">
        <v>0</v>
      </c>
      <c r="G6" s="1">
        <v>3506</v>
      </c>
      <c r="H6" s="1">
        <f>G6-(D6-C6)</f>
        <v>3475</v>
      </c>
      <c r="I6" s="1">
        <f t="shared" si="1"/>
        <v>4606</v>
      </c>
    </row>
    <row r="7" spans="1:9" x14ac:dyDescent="0.25">
      <c r="A7">
        <v>5</v>
      </c>
      <c r="B7" s="1">
        <v>1092</v>
      </c>
      <c r="C7" s="1">
        <v>8</v>
      </c>
      <c r="D7" s="1">
        <f t="shared" si="2"/>
        <v>39</v>
      </c>
      <c r="E7" s="1">
        <v>357</v>
      </c>
      <c r="F7" s="1">
        <f>E7-(D7-C7)</f>
        <v>326</v>
      </c>
      <c r="G7" s="1">
        <v>3148</v>
      </c>
      <c r="H7" s="1">
        <f>G7</f>
        <v>3148</v>
      </c>
      <c r="I7" s="1">
        <f t="shared" si="1"/>
        <v>4605</v>
      </c>
    </row>
    <row r="8" spans="1:9" x14ac:dyDescent="0.25">
      <c r="A8">
        <v>6</v>
      </c>
      <c r="B8" s="1">
        <v>1092</v>
      </c>
      <c r="C8" s="1">
        <v>11</v>
      </c>
      <c r="D8" s="1">
        <f t="shared" si="2"/>
        <v>54</v>
      </c>
      <c r="E8" s="1">
        <v>655</v>
      </c>
      <c r="F8" s="1">
        <f t="shared" ref="F8:F22" si="3">E8-(D8-C8)</f>
        <v>612</v>
      </c>
      <c r="G8" s="1">
        <v>2848</v>
      </c>
      <c r="H8" s="1">
        <f>G8</f>
        <v>2848</v>
      </c>
      <c r="I8" s="1">
        <f t="shared" si="1"/>
        <v>4606</v>
      </c>
    </row>
    <row r="9" spans="1:9" x14ac:dyDescent="0.25">
      <c r="A9">
        <v>7</v>
      </c>
      <c r="B9" s="1">
        <v>1092</v>
      </c>
      <c r="C9" s="1">
        <v>12</v>
      </c>
      <c r="D9" s="1">
        <f t="shared" si="2"/>
        <v>59</v>
      </c>
      <c r="E9" s="1">
        <v>1142</v>
      </c>
      <c r="F9" s="1">
        <f t="shared" si="3"/>
        <v>1095</v>
      </c>
      <c r="G9" s="1">
        <v>2360</v>
      </c>
      <c r="H9" s="1">
        <f t="shared" ref="H9:H22" si="4">G9</f>
        <v>2360</v>
      </c>
      <c r="I9" s="1">
        <f t="shared" si="1"/>
        <v>4606</v>
      </c>
    </row>
    <row r="10" spans="1:9" x14ac:dyDescent="0.25">
      <c r="A10">
        <v>8</v>
      </c>
      <c r="B10" s="1">
        <v>1092</v>
      </c>
      <c r="C10" s="1">
        <v>11</v>
      </c>
      <c r="D10" s="1">
        <f t="shared" si="2"/>
        <v>54</v>
      </c>
      <c r="E10" s="1">
        <v>1599</v>
      </c>
      <c r="F10" s="1">
        <f>E10-(D10-C10)-1</f>
        <v>1555</v>
      </c>
      <c r="G10" s="1">
        <v>1905</v>
      </c>
      <c r="H10" s="1">
        <f t="shared" si="4"/>
        <v>1905</v>
      </c>
      <c r="I10" s="1">
        <f t="shared" si="1"/>
        <v>4606</v>
      </c>
    </row>
    <row r="11" spans="1:9" x14ac:dyDescent="0.25">
      <c r="A11">
        <v>9</v>
      </c>
      <c r="B11" s="1">
        <v>1092</v>
      </c>
      <c r="C11" s="1">
        <v>10</v>
      </c>
      <c r="D11" s="1">
        <f t="shared" si="2"/>
        <v>49</v>
      </c>
      <c r="E11" s="1">
        <v>1986</v>
      </c>
      <c r="F11" s="1">
        <f>E11-(D11-C11)-1</f>
        <v>1946</v>
      </c>
      <c r="G11" s="1">
        <v>1519</v>
      </c>
      <c r="H11" s="1">
        <f t="shared" si="4"/>
        <v>1519</v>
      </c>
      <c r="I11" s="1">
        <f t="shared" si="1"/>
        <v>4606</v>
      </c>
    </row>
    <row r="12" spans="1:9" x14ac:dyDescent="0.25">
      <c r="A12">
        <v>10</v>
      </c>
      <c r="B12" s="1">
        <v>1092</v>
      </c>
      <c r="C12" s="1">
        <v>12</v>
      </c>
      <c r="D12" s="1">
        <f t="shared" si="2"/>
        <v>59</v>
      </c>
      <c r="E12" s="1">
        <v>2145</v>
      </c>
      <c r="F12" s="1">
        <f t="shared" si="3"/>
        <v>2098</v>
      </c>
      <c r="G12" s="1">
        <v>1357</v>
      </c>
      <c r="H12" s="1">
        <f t="shared" si="4"/>
        <v>1357</v>
      </c>
      <c r="I12" s="1">
        <f t="shared" si="1"/>
        <v>4606</v>
      </c>
    </row>
    <row r="13" spans="1:9" x14ac:dyDescent="0.25">
      <c r="A13">
        <v>11</v>
      </c>
      <c r="B13" s="1">
        <v>1092</v>
      </c>
      <c r="C13" s="1">
        <v>22</v>
      </c>
      <c r="D13" s="1">
        <v>108</v>
      </c>
      <c r="E13" s="1">
        <v>2234</v>
      </c>
      <c r="F13" s="1">
        <f t="shared" si="3"/>
        <v>2148</v>
      </c>
      <c r="G13" s="1">
        <v>1258</v>
      </c>
      <c r="H13" s="1">
        <f t="shared" si="4"/>
        <v>1258</v>
      </c>
      <c r="I13" s="1">
        <f t="shared" si="1"/>
        <v>4606</v>
      </c>
    </row>
    <row r="14" spans="1:9" x14ac:dyDescent="0.25">
      <c r="A14">
        <v>12</v>
      </c>
      <c r="B14" s="1">
        <v>1092</v>
      </c>
      <c r="C14" s="1">
        <v>21</v>
      </c>
      <c r="D14" s="1">
        <f t="shared" si="2"/>
        <v>103</v>
      </c>
      <c r="E14" s="1">
        <v>2234</v>
      </c>
      <c r="F14" s="1">
        <f t="shared" si="3"/>
        <v>2152</v>
      </c>
      <c r="G14" s="1">
        <v>1259</v>
      </c>
      <c r="H14" s="1">
        <f t="shared" si="4"/>
        <v>1259</v>
      </c>
      <c r="I14" s="1">
        <f t="shared" si="1"/>
        <v>4606</v>
      </c>
    </row>
    <row r="15" spans="1:9" x14ac:dyDescent="0.25">
      <c r="A15">
        <v>1</v>
      </c>
      <c r="B15" s="1">
        <v>1092</v>
      </c>
      <c r="C15" s="1">
        <v>18</v>
      </c>
      <c r="D15" s="1">
        <f t="shared" si="2"/>
        <v>88</v>
      </c>
      <c r="E15" s="1">
        <v>2234</v>
      </c>
      <c r="F15" s="1">
        <f t="shared" si="3"/>
        <v>2164</v>
      </c>
      <c r="G15" s="1">
        <v>1262</v>
      </c>
      <c r="H15" s="1">
        <f t="shared" si="4"/>
        <v>1262</v>
      </c>
      <c r="I15" s="1">
        <f t="shared" si="1"/>
        <v>4606</v>
      </c>
    </row>
    <row r="16" spans="1:9" x14ac:dyDescent="0.25">
      <c r="A16">
        <v>2</v>
      </c>
      <c r="B16" s="1">
        <v>1092</v>
      </c>
      <c r="C16" s="1">
        <v>17</v>
      </c>
      <c r="D16" s="1">
        <f t="shared" si="2"/>
        <v>83</v>
      </c>
      <c r="E16" s="1">
        <v>2184</v>
      </c>
      <c r="F16" s="1">
        <f t="shared" si="3"/>
        <v>2118</v>
      </c>
      <c r="G16" s="1">
        <v>1313</v>
      </c>
      <c r="H16" s="1">
        <f t="shared" si="4"/>
        <v>1313</v>
      </c>
      <c r="I16" s="1">
        <f t="shared" si="1"/>
        <v>4606</v>
      </c>
    </row>
    <row r="17" spans="1:9" x14ac:dyDescent="0.25">
      <c r="A17">
        <v>3</v>
      </c>
      <c r="B17" s="1">
        <v>1092</v>
      </c>
      <c r="C17" s="1">
        <v>16</v>
      </c>
      <c r="D17" s="1">
        <f t="shared" si="2"/>
        <v>79</v>
      </c>
      <c r="E17" s="1">
        <v>2095</v>
      </c>
      <c r="F17" s="1">
        <f t="shared" si="3"/>
        <v>2032</v>
      </c>
      <c r="G17" s="1">
        <v>1403</v>
      </c>
      <c r="H17" s="1">
        <f t="shared" si="4"/>
        <v>1403</v>
      </c>
      <c r="I17" s="1">
        <f t="shared" si="1"/>
        <v>4606</v>
      </c>
    </row>
    <row r="18" spans="1:9" x14ac:dyDescent="0.25">
      <c r="A18">
        <v>4</v>
      </c>
      <c r="B18" s="1">
        <v>1092</v>
      </c>
      <c r="C18" s="1">
        <v>17</v>
      </c>
      <c r="D18" s="1">
        <f t="shared" si="2"/>
        <v>83</v>
      </c>
      <c r="E18" s="1">
        <v>1936</v>
      </c>
      <c r="F18" s="1">
        <f t="shared" si="3"/>
        <v>1870</v>
      </c>
      <c r="G18" s="1">
        <v>1561</v>
      </c>
      <c r="H18" s="1">
        <f t="shared" si="4"/>
        <v>1561</v>
      </c>
      <c r="I18" s="1">
        <f t="shared" si="1"/>
        <v>4606</v>
      </c>
    </row>
    <row r="19" spans="1:9" x14ac:dyDescent="0.25">
      <c r="A19">
        <v>5</v>
      </c>
      <c r="B19" s="1">
        <v>1092</v>
      </c>
      <c r="C19" s="1">
        <v>18</v>
      </c>
      <c r="D19" s="1">
        <f>ROUND(C19*$D$13/$C$13, 0)</f>
        <v>88</v>
      </c>
      <c r="E19" s="1">
        <v>1599</v>
      </c>
      <c r="F19" s="1">
        <f>E19-(D19-C19)-1</f>
        <v>1528</v>
      </c>
      <c r="G19" s="1">
        <v>1898</v>
      </c>
      <c r="H19" s="1">
        <f t="shared" si="4"/>
        <v>1898</v>
      </c>
      <c r="I19" s="1">
        <f t="shared" si="1"/>
        <v>4606</v>
      </c>
    </row>
    <row r="20" spans="1:9" x14ac:dyDescent="0.25">
      <c r="A20">
        <v>6</v>
      </c>
      <c r="B20" s="1">
        <v>1092</v>
      </c>
      <c r="C20" s="1">
        <v>22</v>
      </c>
      <c r="D20" s="1">
        <f t="shared" si="2"/>
        <v>108</v>
      </c>
      <c r="E20" s="1">
        <v>1152</v>
      </c>
      <c r="F20" s="1">
        <f>E20-(D20-C20)-1</f>
        <v>1065</v>
      </c>
      <c r="G20" s="1">
        <v>2341</v>
      </c>
      <c r="H20" s="1">
        <f t="shared" si="4"/>
        <v>2341</v>
      </c>
      <c r="I20" s="1">
        <f t="shared" si="1"/>
        <v>4606</v>
      </c>
    </row>
    <row r="21" spans="1:9" x14ac:dyDescent="0.25">
      <c r="A21">
        <v>7</v>
      </c>
      <c r="B21" s="1">
        <v>1092</v>
      </c>
      <c r="C21" s="1">
        <v>22</v>
      </c>
      <c r="D21" s="1">
        <f t="shared" si="2"/>
        <v>108</v>
      </c>
      <c r="E21" s="1">
        <v>725</v>
      </c>
      <c r="F21" s="1">
        <f t="shared" si="3"/>
        <v>639</v>
      </c>
      <c r="G21" s="1">
        <v>2767</v>
      </c>
      <c r="H21" s="1">
        <f t="shared" si="4"/>
        <v>2767</v>
      </c>
      <c r="I21" s="1">
        <f t="shared" si="1"/>
        <v>4606</v>
      </c>
    </row>
    <row r="22" spans="1:9" x14ac:dyDescent="0.25">
      <c r="A22">
        <v>8</v>
      </c>
      <c r="B22" s="1">
        <v>1092</v>
      </c>
      <c r="C22" s="1">
        <v>18</v>
      </c>
      <c r="D22" s="1">
        <f t="shared" si="2"/>
        <v>88</v>
      </c>
      <c r="E22" s="1">
        <v>397</v>
      </c>
      <c r="F22" s="1">
        <f t="shared" si="3"/>
        <v>327</v>
      </c>
      <c r="G22" s="1">
        <v>3099</v>
      </c>
      <c r="H22" s="1">
        <f t="shared" si="4"/>
        <v>3099</v>
      </c>
      <c r="I22" s="1">
        <f t="shared" si="1"/>
        <v>4606</v>
      </c>
    </row>
    <row r="23" spans="1:9" x14ac:dyDescent="0.25">
      <c r="A23">
        <v>9</v>
      </c>
      <c r="B23" s="1">
        <v>1092</v>
      </c>
      <c r="C23" s="1">
        <v>12</v>
      </c>
      <c r="D23" s="1">
        <f t="shared" si="2"/>
        <v>59</v>
      </c>
      <c r="E23" s="1">
        <v>0</v>
      </c>
      <c r="F23" s="1">
        <v>0</v>
      </c>
      <c r="G23" s="1">
        <v>3502</v>
      </c>
      <c r="H23" s="1">
        <f>G23-(D23-C23)</f>
        <v>3455</v>
      </c>
      <c r="I23" s="1">
        <f t="shared" si="1"/>
        <v>4606</v>
      </c>
    </row>
    <row r="24" spans="1:9" x14ac:dyDescent="0.25">
      <c r="A24">
        <v>10</v>
      </c>
      <c r="B24" s="1">
        <v>1092</v>
      </c>
      <c r="C24" s="1">
        <v>6</v>
      </c>
      <c r="D24" s="1">
        <f t="shared" si="2"/>
        <v>29</v>
      </c>
      <c r="E24" s="1">
        <v>0</v>
      </c>
      <c r="F24" s="1">
        <v>0</v>
      </c>
      <c r="G24" s="1">
        <v>3508</v>
      </c>
      <c r="H24" s="1">
        <f t="shared" ref="H24:H25" si="5">G24-(D24-C24)</f>
        <v>3485</v>
      </c>
      <c r="I24" s="1">
        <f t="shared" si="1"/>
        <v>4606</v>
      </c>
    </row>
    <row r="25" spans="1:9" x14ac:dyDescent="0.25">
      <c r="A25">
        <v>11</v>
      </c>
      <c r="B25" s="1">
        <v>1092</v>
      </c>
      <c r="C25" s="1">
        <v>2</v>
      </c>
      <c r="D25" s="1">
        <f t="shared" si="2"/>
        <v>10</v>
      </c>
      <c r="E25" s="1">
        <v>0</v>
      </c>
      <c r="F25" s="1">
        <v>0</v>
      </c>
      <c r="G25" s="1">
        <v>3512</v>
      </c>
      <c r="H25" s="1">
        <f t="shared" si="5"/>
        <v>3504</v>
      </c>
      <c r="I25" s="1">
        <f t="shared" si="1"/>
        <v>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 Kadinski</dc:creator>
  <cp:lastModifiedBy>Brent Vizanko</cp:lastModifiedBy>
  <dcterms:created xsi:type="dcterms:W3CDTF">2015-06-05T18:19:34Z</dcterms:created>
  <dcterms:modified xsi:type="dcterms:W3CDTF">2023-05-26T02:19:07Z</dcterms:modified>
</cp:coreProperties>
</file>